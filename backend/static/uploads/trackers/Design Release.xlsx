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it\Desktop\Dashboard project Excel\"/>
    </mc:Choice>
  </mc:AlternateContent>
  <xr:revisionPtr revIDLastSave="0" documentId="8_{B1C24035-A3C0-4A8D-9AE4-D673292DC1FC}" xr6:coauthVersionLast="47" xr6:coauthVersionMax="47" xr10:uidLastSave="{00000000-0000-0000-0000-000000000000}"/>
  <bookViews>
    <workbookView xWindow="-120" yWindow="-120" windowWidth="20730" windowHeight="11040" xr2:uid="{91879025-9BEC-4A2A-90E6-F28E944F2F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" l="1"/>
  <c r="N7" i="1" s="1"/>
  <c r="Q7" i="1" s="1"/>
  <c r="K6" i="1"/>
  <c r="N6" i="1" s="1"/>
  <c r="Q6" i="1" s="1"/>
  <c r="K5" i="1"/>
  <c r="N5" i="1" s="1"/>
  <c r="Q5" i="1" s="1"/>
  <c r="K4" i="1"/>
  <c r="N4" i="1" s="1"/>
  <c r="Q4" i="1" s="1"/>
  <c r="K3" i="1"/>
  <c r="N3" i="1" s="1"/>
  <c r="Q3" i="1" s="1"/>
</calcChain>
</file>

<file path=xl/sharedStrings.xml><?xml version="1.0" encoding="utf-8"?>
<sst xmlns="http://schemas.openxmlformats.org/spreadsheetml/2006/main" count="73" uniqueCount="37">
  <si>
    <t>L0 Drawing release</t>
  </si>
  <si>
    <t>CAE Analysis</t>
  </si>
  <si>
    <t>L1 Drawing release</t>
  </si>
  <si>
    <t>L2 Drawing release</t>
  </si>
  <si>
    <t>S.No</t>
  </si>
  <si>
    <t>System</t>
  </si>
  <si>
    <t>Part Number</t>
  </si>
  <si>
    <t>Part Description</t>
  </si>
  <si>
    <t>Part Category</t>
  </si>
  <si>
    <t>Commodity</t>
  </si>
  <si>
    <t>Design Engineer</t>
  </si>
  <si>
    <t>Plan</t>
  </si>
  <si>
    <t>Actual</t>
  </si>
  <si>
    <t>Status</t>
  </si>
  <si>
    <t>CCV</t>
  </si>
  <si>
    <t>F8S01422</t>
  </si>
  <si>
    <t>Crankcase</t>
  </si>
  <si>
    <t>HIHR</t>
  </si>
  <si>
    <t>Casting</t>
  </si>
  <si>
    <t>Arun</t>
  </si>
  <si>
    <t>Pending</t>
  </si>
  <si>
    <t>Intake</t>
  </si>
  <si>
    <t>F8S01522</t>
  </si>
  <si>
    <t>Intake Manifold</t>
  </si>
  <si>
    <t>MIMR</t>
  </si>
  <si>
    <t>Al Casting</t>
  </si>
  <si>
    <t>Sujitha</t>
  </si>
  <si>
    <t>Exhaust</t>
  </si>
  <si>
    <t>F8S01533</t>
  </si>
  <si>
    <t>Exhaust Manifold</t>
  </si>
  <si>
    <t>LILR</t>
  </si>
  <si>
    <t>Gokul</t>
  </si>
  <si>
    <t>F8S01544</t>
  </si>
  <si>
    <t>Turbocharger</t>
  </si>
  <si>
    <t>Proprietary</t>
  </si>
  <si>
    <t>F8S01555</t>
  </si>
  <si>
    <t>Intake throttle valve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</si>
</sst>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5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BE859-0839-49CE-9D84-CBDBF51AE036}">
  <dimension ref="A1:S15"/>
  <sheetViews>
    <sheetView tabSelected="1" workbookViewId="0">
      <selection sqref="A1:XFD1048576"/>
    </sheetView>
  </sheetViews>
  <sheetFormatPr defaultRowHeight="15" x14ac:dyDescent="0.25"/>
  <cols>
    <col min="1" max="1" width="4.5703125" bestFit="1" customWidth="1"/>
    <col min="2" max="2" width="11.5703125" customWidth="1"/>
    <col min="3" max="3" width="11.42578125" bestFit="1" customWidth="1"/>
    <col min="4" max="4" width="17.5703125" bestFit="1" customWidth="1"/>
    <col min="5" max="5" width="12" bestFit="1" customWidth="1"/>
    <col min="6" max="6" width="10.42578125" bestFit="1" customWidth="1"/>
    <col min="7" max="7" width="14.140625" bestFit="1" customWidth="1"/>
    <col min="8" max="8" width="9.5703125" bestFit="1" customWidth="1"/>
    <col min="11" max="11" width="9.7109375" bestFit="1" customWidth="1"/>
    <col min="14" max="14" width="9.7109375" bestFit="1" customWidth="1"/>
    <col min="17" max="17" width="9.42578125" bestFit="1" customWidth="1"/>
  </cols>
  <sheetData>
    <row r="1" spans="1:19" x14ac:dyDescent="0.25">
      <c r="A1" s="1"/>
      <c r="B1" s="1"/>
      <c r="C1" s="1"/>
      <c r="D1" s="1"/>
      <c r="E1" s="1"/>
      <c r="F1" s="1"/>
      <c r="G1" s="1"/>
      <c r="H1" s="2" t="s">
        <v>0</v>
      </c>
      <c r="I1" s="2"/>
      <c r="J1" s="2"/>
      <c r="K1" s="2" t="s">
        <v>1</v>
      </c>
      <c r="L1" s="2"/>
      <c r="M1" s="2"/>
      <c r="N1" s="2" t="s">
        <v>2</v>
      </c>
      <c r="O1" s="2"/>
      <c r="P1" s="2"/>
      <c r="Q1" s="2" t="s">
        <v>3</v>
      </c>
      <c r="R1" s="2"/>
      <c r="S1" s="2"/>
    </row>
    <row r="2" spans="1:19" x14ac:dyDescent="0.25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11</v>
      </c>
      <c r="L2" s="3" t="s">
        <v>12</v>
      </c>
      <c r="M2" s="3" t="s">
        <v>13</v>
      </c>
      <c r="N2" s="3" t="s">
        <v>11</v>
      </c>
      <c r="O2" s="3" t="s">
        <v>12</v>
      </c>
      <c r="P2" s="3" t="s">
        <v>13</v>
      </c>
      <c r="Q2" s="3" t="s">
        <v>11</v>
      </c>
      <c r="R2" s="3" t="s">
        <v>12</v>
      </c>
      <c r="S2" s="3" t="s">
        <v>13</v>
      </c>
    </row>
    <row r="3" spans="1:19" x14ac:dyDescent="0.25">
      <c r="A3" s="4">
        <v>1</v>
      </c>
      <c r="B3" s="4" t="s">
        <v>14</v>
      </c>
      <c r="C3" s="4" t="s">
        <v>15</v>
      </c>
      <c r="D3" s="5" t="s">
        <v>16</v>
      </c>
      <c r="E3" s="4" t="s">
        <v>17</v>
      </c>
      <c r="F3" s="4" t="s">
        <v>18</v>
      </c>
      <c r="G3" s="4" t="s">
        <v>19</v>
      </c>
      <c r="H3" s="6">
        <v>46096</v>
      </c>
      <c r="I3" s="7"/>
      <c r="J3" s="8" t="s">
        <v>20</v>
      </c>
      <c r="K3" s="6">
        <f>H3+60</f>
        <v>46156</v>
      </c>
      <c r="L3" s="7"/>
      <c r="M3" s="8" t="s">
        <v>20</v>
      </c>
      <c r="N3" s="6">
        <f>K3+15</f>
        <v>46171</v>
      </c>
      <c r="O3" s="7"/>
      <c r="P3" s="8" t="s">
        <v>20</v>
      </c>
      <c r="Q3" s="6">
        <f>N3+180</f>
        <v>46351</v>
      </c>
      <c r="R3" s="7"/>
      <c r="S3" s="8" t="s">
        <v>20</v>
      </c>
    </row>
    <row r="4" spans="1:19" x14ac:dyDescent="0.25">
      <c r="A4" s="4">
        <v>2</v>
      </c>
      <c r="B4" s="4" t="s">
        <v>21</v>
      </c>
      <c r="C4" s="4" t="s">
        <v>22</v>
      </c>
      <c r="D4" s="5" t="s">
        <v>23</v>
      </c>
      <c r="E4" s="4" t="s">
        <v>24</v>
      </c>
      <c r="F4" s="4" t="s">
        <v>25</v>
      </c>
      <c r="G4" s="4" t="s">
        <v>26</v>
      </c>
      <c r="H4" s="6">
        <v>46081</v>
      </c>
      <c r="I4" s="7"/>
      <c r="J4" s="8" t="s">
        <v>20</v>
      </c>
      <c r="K4" s="6">
        <f t="shared" ref="K4:K7" si="0">H4+60</f>
        <v>46141</v>
      </c>
      <c r="L4" s="7"/>
      <c r="M4" s="8" t="s">
        <v>20</v>
      </c>
      <c r="N4" s="6">
        <f t="shared" ref="N4:N7" si="1">K4+15</f>
        <v>46156</v>
      </c>
      <c r="O4" s="7"/>
      <c r="P4" s="8" t="s">
        <v>20</v>
      </c>
      <c r="Q4" s="6">
        <f t="shared" ref="Q4:Q7" si="2">N4+180</f>
        <v>46336</v>
      </c>
      <c r="R4" s="7"/>
      <c r="S4" s="8" t="s">
        <v>20</v>
      </c>
    </row>
    <row r="5" spans="1:19" x14ac:dyDescent="0.25">
      <c r="A5" s="4">
        <v>3</v>
      </c>
      <c r="B5" s="4" t="s">
        <v>27</v>
      </c>
      <c r="C5" s="4" t="s">
        <v>28</v>
      </c>
      <c r="D5" s="5" t="s">
        <v>29</v>
      </c>
      <c r="E5" s="4" t="s">
        <v>30</v>
      </c>
      <c r="F5" s="4" t="s">
        <v>18</v>
      </c>
      <c r="G5" s="4" t="s">
        <v>31</v>
      </c>
      <c r="H5" s="6">
        <v>46081</v>
      </c>
      <c r="I5" s="7"/>
      <c r="J5" s="8" t="s">
        <v>20</v>
      </c>
      <c r="K5" s="6">
        <f t="shared" si="0"/>
        <v>46141</v>
      </c>
      <c r="L5" s="7"/>
      <c r="M5" s="8" t="s">
        <v>20</v>
      </c>
      <c r="N5" s="6">
        <f t="shared" si="1"/>
        <v>46156</v>
      </c>
      <c r="O5" s="7"/>
      <c r="P5" s="8" t="s">
        <v>20</v>
      </c>
      <c r="Q5" s="6">
        <f t="shared" si="2"/>
        <v>46336</v>
      </c>
      <c r="R5" s="7"/>
      <c r="S5" s="8" t="s">
        <v>20</v>
      </c>
    </row>
    <row r="6" spans="1:19" x14ac:dyDescent="0.25">
      <c r="A6" s="4">
        <v>4</v>
      </c>
      <c r="B6" s="4" t="s">
        <v>27</v>
      </c>
      <c r="C6" s="4" t="s">
        <v>32</v>
      </c>
      <c r="D6" s="5" t="s">
        <v>33</v>
      </c>
      <c r="E6" s="4" t="s">
        <v>24</v>
      </c>
      <c r="F6" s="4" t="s">
        <v>34</v>
      </c>
      <c r="G6" s="4" t="s">
        <v>31</v>
      </c>
      <c r="H6" s="6">
        <v>46112</v>
      </c>
      <c r="I6" s="7"/>
      <c r="J6" s="8" t="s">
        <v>20</v>
      </c>
      <c r="K6" s="6">
        <f t="shared" si="0"/>
        <v>46172</v>
      </c>
      <c r="L6" s="7"/>
      <c r="M6" s="8" t="s">
        <v>20</v>
      </c>
      <c r="N6" s="6">
        <f t="shared" si="1"/>
        <v>46187</v>
      </c>
      <c r="O6" s="7"/>
      <c r="P6" s="8" t="s">
        <v>20</v>
      </c>
      <c r="Q6" s="6">
        <f t="shared" si="2"/>
        <v>46367</v>
      </c>
      <c r="R6" s="7"/>
      <c r="S6" s="8" t="s">
        <v>20</v>
      </c>
    </row>
    <row r="7" spans="1:19" x14ac:dyDescent="0.25">
      <c r="A7" s="4">
        <v>5</v>
      </c>
      <c r="B7" s="4" t="s">
        <v>21</v>
      </c>
      <c r="C7" s="4" t="s">
        <v>35</v>
      </c>
      <c r="D7" s="5" t="s">
        <v>36</v>
      </c>
      <c r="E7" s="4" t="s">
        <v>17</v>
      </c>
      <c r="F7" s="4" t="s">
        <v>34</v>
      </c>
      <c r="G7" s="4" t="s">
        <v>19</v>
      </c>
      <c r="H7" s="6">
        <v>46102</v>
      </c>
      <c r="I7" s="7"/>
      <c r="J7" s="8" t="s">
        <v>20</v>
      </c>
      <c r="K7" s="6">
        <f t="shared" si="0"/>
        <v>46162</v>
      </c>
      <c r="L7" s="7"/>
      <c r="M7" s="8" t="s">
        <v>20</v>
      </c>
      <c r="N7" s="6">
        <f t="shared" si="1"/>
        <v>46177</v>
      </c>
      <c r="O7" s="7"/>
      <c r="P7" s="8" t="s">
        <v>20</v>
      </c>
      <c r="Q7" s="6">
        <f t="shared" si="2"/>
        <v>46357</v>
      </c>
      <c r="R7" s="7"/>
      <c r="S7" s="8" t="s">
        <v>20</v>
      </c>
    </row>
    <row r="8" spans="1:19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</sheetData>
  <mergeCells count="5">
    <mergeCell ref="A1:G1"/>
    <mergeCell ref="H1:J1"/>
    <mergeCell ref="K1:M1"/>
    <mergeCell ref="N1:P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Sujitha S</dc:creator>
  <cp:lastModifiedBy>Sujitha S</cp:lastModifiedBy>
  <dcterms:created xsi:type="dcterms:W3CDTF">2026-02-19T09:42:47Z</dcterms:created>
  <dcterms:modified xsi:type="dcterms:W3CDTF">2026-02-19T09:43:36Z</dcterms:modified>
</cp:coreProperties>
</file>